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Excel\"/>
    </mc:Choice>
  </mc:AlternateContent>
  <xr:revisionPtr revIDLastSave="0" documentId="13_ncr:1_{E0D7DC1F-AAA7-49BE-87D2-3BBDF6B8070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データベース" sheetId="1" r:id="rId1"/>
    <sheet name="シナモン チョコレート" sheetId="2" r:id="rId2"/>
    <sheet name="条件付書式" sheetId="5" r:id="rId3"/>
    <sheet name="テーブル" sheetId="6" r:id="rId4"/>
  </sheets>
  <definedNames>
    <definedName name="_xlnm.Print_Area" localSheetId="0">データベース!$A$1:$F$13</definedName>
    <definedName name="祝日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3" i="1"/>
  <c r="C3" i="6"/>
  <c r="C2" i="6"/>
  <c r="C4" i="6"/>
  <c r="C5" i="6"/>
  <c r="C6" i="6"/>
  <c r="C7" i="6"/>
  <c r="C8" i="6"/>
  <c r="C9" i="6"/>
  <c r="C10" i="6"/>
  <c r="F2" i="1"/>
  <c r="F3" i="5"/>
  <c r="F4" i="5"/>
  <c r="F5" i="5"/>
  <c r="F6" i="5"/>
  <c r="F2" i="5"/>
  <c r="C6" i="5"/>
  <c r="D6" i="5"/>
  <c r="E6" i="5"/>
  <c r="B6" i="5"/>
  <c r="E1" i="2"/>
</calcChain>
</file>

<file path=xl/sharedStrings.xml><?xml version="1.0" encoding="utf-8"?>
<sst xmlns="http://schemas.openxmlformats.org/spreadsheetml/2006/main" count="77" uniqueCount="23">
  <si>
    <t>なまえ</t>
    <phoneticPr fontId="1"/>
  </si>
  <si>
    <t>おかし</t>
    <phoneticPr fontId="1"/>
  </si>
  <si>
    <t>スコア</t>
    <phoneticPr fontId="1"/>
  </si>
  <si>
    <t>キティ</t>
    <phoneticPr fontId="1"/>
  </si>
  <si>
    <t>ポムポムプリン</t>
    <phoneticPr fontId="1"/>
  </si>
  <si>
    <t>クロミ</t>
    <phoneticPr fontId="1"/>
  </si>
  <si>
    <t>チョコレート</t>
    <phoneticPr fontId="1"/>
  </si>
  <si>
    <t>キャンディ</t>
    <phoneticPr fontId="1"/>
  </si>
  <si>
    <t>合計</t>
    <rPh sb="0" eb="2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</si>
  <si>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</si>
  <si>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</si>
  <si>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</si>
  <si>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7月</t>
    <rPh sb="1" eb="2">
      <t>ガツ</t>
    </rPh>
    <phoneticPr fontId="1"/>
  </si>
  <si>
    <t>担当者</t>
    <rPh sb="0" eb="3">
      <t>タントウシャ</t>
    </rPh>
    <phoneticPr fontId="1"/>
  </si>
  <si>
    <t>社員番号</t>
    <rPh sb="0" eb="4">
      <t>シャインバンゴウ</t>
    </rPh>
    <phoneticPr fontId="1"/>
  </si>
  <si>
    <t>名前</t>
    <rPh sb="0" eb="2">
      <t>ナマエ</t>
    </rPh>
    <phoneticPr fontId="1"/>
  </si>
  <si>
    <t>日付</t>
    <rPh sb="0" eb="2">
      <t>ヒヅケ</t>
    </rPh>
    <phoneticPr fontId="1"/>
  </si>
  <si>
    <t>売上</t>
    <rPh sb="0" eb="2">
      <t>ウリアゲ</t>
    </rPh>
    <phoneticPr fontId="1"/>
  </si>
  <si>
    <t>シナモン</t>
  </si>
  <si>
    <t>シナモン</t>
    <phoneticPr fontId="1"/>
  </si>
  <si>
    <t>マイメロディ</t>
    <phoneticPr fontId="1"/>
  </si>
  <si>
    <t>ケロッピー</t>
    <phoneticPr fontId="1"/>
  </si>
  <si>
    <t>チョコレート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</si>
</sst>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 * #,##0_ ;_ * \-#,##0_ ;_ * &quot;-&quot;_ ;_ @_ "/>
  </numFmts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b/>
      <sz val="11"/>
      <color theme="1"/>
      <name val="Yu Gothic"/>
      <family val="2"/>
      <scheme val="minor"/>
    </font>
    <font>
      <sz val="11"/>
      <color rgb="FFFF0000"/>
      <name val="Yu Gothic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5" tint="0.39997558519241921"/>
      </top>
      <bottom/>
      <diagonal/>
    </border>
  </borders>
  <cellStyleXfs count="2">
    <xf numFmtId="0" fontId="0" fillId="0" borderId="0"/>
    <xf numFmtId="38" fontId="3" fillId="0" borderId="0" applyFont="0" applyFill="0" applyBorder="0" applyAlignment="0" applyProtection="0">
      <alignment vertical="center"/>
    </xf>
  </cellStyleXfs>
  <cellXfs count="33">
    <xf numFmtId="0" fontId="0" fillId="0" borderId="0" xfId="0"/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38" fontId="0" fillId="0" borderId="0" xfId="1" applyFont="1" applyAlignment="1"/>
    <xf numFmtId="38" fontId="0" fillId="0" borderId="0" xfId="0" applyNumberFormat="1"/>
    <xf numFmtId="38" fontId="0" fillId="0" borderId="1" xfId="1" applyFont="1" applyBorder="1" applyAlignment="1"/>
    <xf numFmtId="38" fontId="0" fillId="0" borderId="1" xfId="0" applyNumberFormat="1" applyBorder="1"/>
    <xf numFmtId="38" fontId="0" fillId="0" borderId="3" xfId="1" applyFont="1" applyBorder="1" applyAlignment="1"/>
    <xf numFmtId="38" fontId="0" fillId="0" borderId="2" xfId="0" applyNumberFormat="1" applyBorder="1"/>
    <xf numFmtId="0" fontId="0" fillId="3" borderId="1" xfId="0" applyFill="1" applyBorder="1"/>
    <xf numFmtId="0" fontId="0" fillId="3" borderId="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3" borderId="8" xfId="0" applyFill="1" applyBorder="1"/>
    <xf numFmtId="38" fontId="0" fillId="0" borderId="8" xfId="1" applyFont="1" applyBorder="1" applyAlignment="1"/>
    <xf numFmtId="38" fontId="0" fillId="0" borderId="7" xfId="1" applyFont="1" applyBorder="1" applyAlignment="1"/>
    <xf numFmtId="38" fontId="0" fillId="0" borderId="9" xfId="0" applyNumberFormat="1" applyBorder="1"/>
    <xf numFmtId="0" fontId="0" fillId="3" borderId="10" xfId="0" applyFill="1" applyBorder="1"/>
    <xf numFmtId="0" fontId="0" fillId="0" borderId="11" xfId="0" applyBorder="1"/>
    <xf numFmtId="38" fontId="5" fillId="0" borderId="8" xfId="1" applyFont="1" applyBorder="1" applyAlignment="1"/>
    <xf numFmtId="14" fontId="0" fillId="0" borderId="12" xfId="0" applyNumberFormat="1" applyBorder="1"/>
    <xf numFmtId="38" fontId="0" fillId="0" borderId="11" xfId="1" applyFont="1" applyFill="1" applyBorder="1" applyAlignment="1"/>
    <xf numFmtId="0" fontId="4" fillId="0" borderId="0" xfId="0" applyFont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14" fontId="0" fillId="0" borderId="0" xfId="0" applyNumberFormat="1"/>
    <xf numFmtId="0" fontId="0" fillId="0" borderId="14" xfId="0" applyBorder="1"/>
    <xf numFmtId="0" fontId="2" fillId="0" borderId="0" xfId="0" applyFont="1" applyAlignment="1">
      <alignment horizontal="center"/>
    </xf>
    <xf numFmtId="41" fontId="0" fillId="0" borderId="0" xfId="0" applyNumberFormat="1"/>
  </cellXfs>
  <cellStyles count="2">
    <cellStyle name="桁区切り" xfId="1" builtinId="6"/>
    <cellStyle name="標準" xfId="0" builtinId="0"/>
  </cellStyles>
  <dxfs count="11">
    <dxf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3"/>
        <charset val="128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/d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  <color rgb="FFFFFFCC"/>
      <color rgb="FFFFCCFF"/>
      <color rgb="FF99CCFF"/>
      <color rgb="FF99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127000</xdr:colOff>
      <xdr:row>1</xdr:row>
      <xdr:rowOff>25400</xdr:rowOff>
    </xdr:from>
    <xdr:to>
      <xdr:col>9</xdr:col>
      <xdr:colOff>120650</xdr:colOff>
      <xdr:row>4</xdr:row>
      <xdr:rowOff>203200</xdr:rowOff>
    </xdr:to>
    <xdr:grpSp>
      <xdr:nvGrpSpPr>
        <xdr:cNvPr id="7" name="グループ化 6">
          <a:extLst>
            <a:ext uri="{FF2B5EF4-FFF2-40B4-BE49-F238E27FC236}">
              <a16:creationId xmlns:a16="http://schemas.microsoft.com/office/drawing/2014/main" id="{C9FFD81E-B6B2-90FA-A899-6096F60F6983}"/>
            </a:ext>
          </a:extLst>
        </xdr:cNvPr>
        <xdr:cNvGrpSpPr/>
      </xdr:nvGrpSpPr>
      <xdr:grpSpPr>
        <a:xfrm>
          <a:off x="6007100" y="254000"/>
          <a:ext cx="1314450" cy="863600"/>
          <a:chOff x="3517900" y="482600"/>
          <a:chExt cx="1314450" cy="863600"/>
        </a:xfrm>
      </xdr:grpSpPr>
      <xdr:pic macro="[0]!sinamon_tyoko">
        <xdr:nvPicPr>
          <xdr:cNvPr id="3" name="図 2" descr="シナモロール｜サンリオ">
            <a:extLst>
              <a:ext uri="{FF2B5EF4-FFF2-40B4-BE49-F238E27FC236}">
                <a16:creationId xmlns:a16="http://schemas.microsoft.com/office/drawing/2014/main" id="{B84CA991-47C7-9415-DE58-0C903AF12CF1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975" b="22223"/>
          <a:stretch/>
        </xdr:blipFill>
        <xdr:spPr bwMode="auto">
          <a:xfrm>
            <a:off x="3517900" y="482600"/>
            <a:ext cx="1314450" cy="8255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 macro="[0]!sinamon_tyoko">
        <xdr:nvPicPr>
          <xdr:cNvPr id="6" name="図 5" descr="板チョコレートの無料(フリー)イラスト | かわいい手描きの無料 ...">
            <a:extLst>
              <a:ext uri="{FF2B5EF4-FFF2-40B4-BE49-F238E27FC236}">
                <a16:creationId xmlns:a16="http://schemas.microsoft.com/office/drawing/2014/main" id="{34154AAD-1C8A-BC0A-9746-13ED0CD18F7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625850" y="806450"/>
            <a:ext cx="539750" cy="539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520700</xdr:colOff>
      <xdr:row>1</xdr:row>
      <xdr:rowOff>107950</xdr:rowOff>
    </xdr:from>
    <xdr:to>
      <xdr:col>11</xdr:col>
      <xdr:colOff>577850</xdr:colOff>
      <xdr:row>5</xdr:row>
      <xdr:rowOff>0</xdr:rowOff>
    </xdr:to>
    <xdr:sp macro="" textlink="">
      <xdr:nvSpPr>
        <xdr:cNvPr id="8" name="思考の吹き出し: 雲形 7">
          <a:extLst>
            <a:ext uri="{FF2B5EF4-FFF2-40B4-BE49-F238E27FC236}">
              <a16:creationId xmlns:a16="http://schemas.microsoft.com/office/drawing/2014/main" id="{B81D2CC2-1F20-3A73-7CD1-8B39BF927239}"/>
            </a:ext>
          </a:extLst>
        </xdr:cNvPr>
        <xdr:cNvSpPr/>
      </xdr:nvSpPr>
      <xdr:spPr>
        <a:xfrm>
          <a:off x="7721600" y="336550"/>
          <a:ext cx="1377950" cy="806450"/>
        </a:xfrm>
        <a:prstGeom prst="cloudCallout">
          <a:avLst>
            <a:gd name="adj1" fmla="val -71527"/>
            <a:gd name="adj2" fmla="val -12127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002060"/>
              </a:solidFill>
            </a:rPr>
            <a:t>集計ボタン</a:t>
          </a:r>
        </a:p>
      </xdr:txBody>
    </xdr:sp>
    <xdr:clientData/>
  </xdr:twoCellAnchor>
  <xdr:twoCellAnchor>
    <xdr:from>
      <xdr:col>7</xdr:col>
      <xdr:colOff>12700</xdr:colOff>
      <xdr:row>5</xdr:row>
      <xdr:rowOff>203200</xdr:rowOff>
    </xdr:from>
    <xdr:to>
      <xdr:col>15</xdr:col>
      <xdr:colOff>76200</xdr:colOff>
      <xdr:row>9</xdr:row>
      <xdr:rowOff>177800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ACCB58BC-8768-7FC5-787F-02B36DFBEFD2}"/>
            </a:ext>
          </a:extLst>
        </xdr:cNvPr>
        <xdr:cNvSpPr/>
      </xdr:nvSpPr>
      <xdr:spPr>
        <a:xfrm>
          <a:off x="5892800" y="1346200"/>
          <a:ext cx="5346700" cy="889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overflow" horzOverflow="overflow" rtlCol="0" anchor="t"/>
        <a:lstStyle/>
        <a:p>
          <a:pPr algn="l"/>
          <a:r>
            <a:rPr kumimoji="1" lang="ja-JP" altLang="en-US" sz="1600"/>
            <a:t>なまえが「シナモン」かつ、おかしが「チョコレート」の行を別シートに転記する</a:t>
          </a:r>
          <a:endParaRPr kumimoji="1" lang="en-US" altLang="ja-JP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2</xdr:row>
      <xdr:rowOff>0</xdr:rowOff>
    </xdr:from>
    <xdr:to>
      <xdr:col>4</xdr:col>
      <xdr:colOff>781050</xdr:colOff>
      <xdr:row>6</xdr:row>
      <xdr:rowOff>25400</xdr:rowOff>
    </xdr:to>
    <xdr:pic macro="[0]!reset">
      <xdr:nvPicPr>
        <xdr:cNvPr id="2" name="図 1" descr="クロミちゃん イラスト」の検索結果 - Yahoo!検索（画像 ...">
          <a:extLst>
            <a:ext uri="{FF2B5EF4-FFF2-40B4-BE49-F238E27FC236}">
              <a16:creationId xmlns:a16="http://schemas.microsoft.com/office/drawing/2014/main" id="{219160D1-5F05-86D9-0E60-11349F67A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000" y="654050"/>
          <a:ext cx="9398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107950</xdr:colOff>
      <xdr:row>8</xdr:row>
      <xdr:rowOff>120650</xdr:rowOff>
    </xdr:from>
    <xdr:to>
      <xdr:col>12</xdr:col>
      <xdr:colOff>622300</xdr:colOff>
      <xdr:row>15</xdr:row>
      <xdr:rowOff>127000</xdr:rowOff>
    </xdr:to>
    <xdr:sp macro="" textlink="">
      <xdr:nvSpPr>
        <xdr:cNvPr id="4" name="四角形: メモ 3">
          <a:extLst>
            <a:ext uri="{FF2B5EF4-FFF2-40B4-BE49-F238E27FC236}">
              <a16:creationId xmlns:a16="http://schemas.microsoft.com/office/drawing/2014/main" id="{01F6BC07-C6BB-AF76-8B50-C4DE141CC07C}"/>
            </a:ext>
          </a:extLst>
        </xdr:cNvPr>
        <xdr:cNvSpPr/>
      </xdr:nvSpPr>
      <xdr:spPr>
        <a:xfrm>
          <a:off x="107950" y="1949450"/>
          <a:ext cx="10198100" cy="1606550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rtlCol="0" anchor="t"/>
        <a:lstStyle/>
        <a:p>
          <a:pPr algn="l"/>
          <a:r>
            <a:rPr kumimoji="1" lang="ja-JP" altLang="en-US" sz="1600"/>
            <a:t>このマクロと同じ動きは</a:t>
          </a:r>
          <a:r>
            <a:rPr kumimoji="1" lang="en-US" altLang="ja-JP" sz="1600"/>
            <a:t>FILTER</a:t>
          </a:r>
          <a:r>
            <a:rPr kumimoji="1" lang="ja-JP" altLang="en-US" sz="1600"/>
            <a:t>関数でもできます</a:t>
          </a:r>
          <a:endParaRPr kumimoji="1" lang="en-US" altLang="ja-JP" sz="1600"/>
        </a:p>
        <a:p>
          <a:pPr algn="l"/>
          <a:r>
            <a:rPr kumimoji="1" lang="en-US" altLang="ja-JP" sz="1600"/>
            <a:t>※</a:t>
          </a:r>
          <a:r>
            <a:rPr kumimoji="1" lang="ja-JP" altLang="en-US" sz="1600"/>
            <a:t>ただし、</a:t>
          </a:r>
          <a:r>
            <a:rPr kumimoji="1" lang="en-US" altLang="ja-JP" sz="1600"/>
            <a:t>Microsoft</a:t>
          </a:r>
          <a:r>
            <a:rPr kumimoji="1" lang="ja-JP" altLang="en-US" sz="1600"/>
            <a:t> </a:t>
          </a:r>
          <a:r>
            <a:rPr kumimoji="1" lang="en-US" altLang="ja-JP" sz="1600"/>
            <a:t>365</a:t>
          </a:r>
          <a:r>
            <a:rPr kumimoji="1" lang="ja-JP" altLang="en-US" sz="1600"/>
            <a:t> および </a:t>
          </a:r>
          <a:r>
            <a:rPr kumimoji="1" lang="en-US" altLang="ja-JP" sz="1600"/>
            <a:t>Excel2021</a:t>
          </a:r>
          <a:r>
            <a:rPr kumimoji="1" lang="ja-JP" altLang="en-US" sz="1600"/>
            <a:t>で利用可 （バージョンが古い</a:t>
          </a:r>
          <a:r>
            <a:rPr kumimoji="1" lang="en-US" altLang="ja-JP" sz="1600"/>
            <a:t>Excel</a:t>
          </a:r>
          <a:r>
            <a:rPr kumimoji="1" lang="ja-JP" altLang="en-US" sz="1600"/>
            <a:t>では使えません）</a:t>
          </a:r>
          <a:endParaRPr kumimoji="1" lang="en-US" altLang="ja-JP" sz="1600"/>
        </a:p>
        <a:p>
          <a:pPr algn="l"/>
          <a:endParaRPr kumimoji="1" lang="en-US" altLang="ja-JP" sz="1600"/>
        </a:p>
        <a:p>
          <a:pPr algn="l"/>
          <a:r>
            <a:rPr kumimoji="1" lang="en-US" altLang="ja-JP" sz="1600"/>
            <a:t>=FILTER(</a:t>
          </a:r>
          <a:r>
            <a:rPr kumimoji="1" lang="ja-JP" altLang="en-US" sz="1600"/>
            <a:t>データベース</a:t>
          </a:r>
          <a:r>
            <a:rPr kumimoji="1" lang="en-US" altLang="ja-JP" sz="1600"/>
            <a:t>!A2:C20,(</a:t>
          </a:r>
          <a:r>
            <a:rPr kumimoji="1" lang="ja-JP" altLang="en-US" sz="1600"/>
            <a:t>データベース</a:t>
          </a:r>
          <a:r>
            <a:rPr kumimoji="1" lang="en-US" altLang="ja-JP" sz="1600"/>
            <a:t>!A2:A20="</a:t>
          </a:r>
          <a:r>
            <a:rPr kumimoji="1" lang="ja-JP" altLang="en-US" sz="1600"/>
            <a:t>シナモン</a:t>
          </a:r>
          <a:r>
            <a:rPr kumimoji="1" lang="en-US" altLang="ja-JP" sz="1600"/>
            <a:t>")*(</a:t>
          </a:r>
          <a:r>
            <a:rPr kumimoji="1" lang="ja-JP" altLang="en-US" sz="1600"/>
            <a:t>データベース</a:t>
          </a:r>
          <a:r>
            <a:rPr kumimoji="1" lang="en-US" altLang="ja-JP" sz="1600"/>
            <a:t>!B2:B20="</a:t>
          </a:r>
          <a:r>
            <a:rPr kumimoji="1" lang="ja-JP" altLang="en-US" sz="1600"/>
            <a:t>チョコレート</a:t>
          </a:r>
          <a:r>
            <a:rPr kumimoji="1" lang="en-US" altLang="ja-JP" sz="1600"/>
            <a:t>"))</a:t>
          </a:r>
          <a:endParaRPr kumimoji="1" lang="ja-JP" altLang="en-US" sz="16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17FA08-50E1-4663-B223-8BACF314F711}" name="テーブル1" displayName="テーブル1" ref="A1:D10" totalsRowShown="0" tableBorderDxfId="8">
  <autoFilter ref="A1:D10" xr:uid="{BA17FA08-50E1-4663-B223-8BACF314F711}"/>
  <tableColumns count="4">
    <tableColumn id="1" xr3:uid="{7BD36FD9-DA2E-4C03-9093-8F9BE5E1E416}" name="日付" dataDxfId="7"/>
    <tableColumn id="2" xr3:uid="{8F9BA98F-DBC2-4E0F-AFA1-224C26CBA987}" name="社員番号" dataDxfId="6"/>
    <tableColumn id="3" xr3:uid="{1DD102AC-1845-49A6-94EB-9A5BE97FD11F}" name="名前" dataDxfId="5">
      <calculatedColumnFormula>VLOOKUP(テーブル1[[#This Row],[社員番号]],E2:F5,2,0)</calculatedColumnFormula>
    </tableColumn>
    <tableColumn id="4" xr3:uid="{A8B478D1-DB90-465D-AFCA-11651E6055B0}" name="売上" dataDxfId="4" dataCellStyle="桁区切り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15330-62BF-4631-BC0F-3685C46B8AE0}" name="テーブル2" displayName="テーブル2" ref="E1:F8" totalsRowShown="0" headerRowDxfId="3" tableBorderDxfId="2">
  <autoFilter ref="E1:F8" xr:uid="{29315330-62BF-4631-BC0F-3685C46B8AE0}"/>
  <tableColumns count="2">
    <tableColumn id="1" xr3:uid="{D896F4F4-A1E6-4058-ADC9-5E325A54D03C}" name="社員番号" dataDxfId="1"/>
    <tableColumn id="2" xr3:uid="{9EBFF45A-FAF9-43A2-B011-E586114AAC45}" name="名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0"/>
  <sheetViews>
    <sheetView tabSelected="1" workbookViewId="0">
      <selection activeCell="E8" sqref="E8"/>
    </sheetView>
  </sheetViews>
  <sheetFormatPr defaultRowHeight="18"/>
  <cols>
    <col min="1" max="1" width="15.25" customWidth="1"/>
    <col min="2" max="2" width="12.58203125" customWidth="1"/>
    <col min="3" max="3" width="9.08203125" customWidth="1"/>
    <col min="5" max="5" width="14.25" bestFit="1" customWidth="1"/>
  </cols>
  <sheetData>
    <row r="1" spans="1:6">
      <c r="A1" s="1" t="s">
        <v>0</v>
      </c>
      <c r="B1" s="1" t="s">
        <v>1</v>
      </c>
      <c r="C1" s="1" t="s">
        <v>2</v>
      </c>
    </row>
    <row r="2" spans="1:6">
      <c r="A2" t="s">
        <v>18</v>
      </c>
      <c r="B2" t="s">
        <v>6</v>
      </c>
      <c r="C2">
        <v>40</v>
      </c>
      <c r="E2" t="s">
        <v>19</v>
      </c>
      <c r="F2">
        <f>COUNTIFS(A:A,E2,B:B,B2)</f>
        <v>4</v>
      </c>
    </row>
    <row r="3" spans="1:6">
      <c r="A3" t="s">
        <v>3</v>
      </c>
      <c r="B3" t="s">
        <v>7</v>
      </c>
      <c r="C3">
        <v>10</v>
      </c>
      <c r="E3" s="29">
        <v>45457</v>
      </c>
      <c r="F3" s="32" t="str">
        <f>TEXT(E3,"aaa")</f>
        <v>金</v>
      </c>
    </row>
    <row r="4" spans="1:6">
      <c r="A4" t="s">
        <v>4</v>
      </c>
      <c r="B4" t="s">
        <v>6</v>
      </c>
      <c r="C4">
        <v>50</v>
      </c>
      <c r="E4" s="29">
        <v>45458</v>
      </c>
      <c r="F4" t="str">
        <f t="shared" ref="F4:F13" si="0">TEXT(E4,"aaa")</f>
        <v>土</v>
      </c>
    </row>
    <row r="5" spans="1:6">
      <c r="A5" t="s">
        <v>18</v>
      </c>
      <c r="B5" t="s">
        <v>7</v>
      </c>
      <c r="C5">
        <v>44</v>
      </c>
      <c r="E5" s="29">
        <v>45459</v>
      </c>
      <c r="F5" t="str">
        <f t="shared" si="0"/>
        <v>日</v>
      </c>
    </row>
    <row r="6" spans="1:6">
      <c r="A6" t="s">
        <v>4</v>
      </c>
      <c r="B6" t="s">
        <v>7</v>
      </c>
      <c r="C6">
        <v>30</v>
      </c>
      <c r="E6" s="29">
        <v>45460</v>
      </c>
      <c r="F6" t="str">
        <f t="shared" si="0"/>
        <v>月</v>
      </c>
    </row>
    <row r="7" spans="1:6">
      <c r="A7" t="s">
        <v>3</v>
      </c>
      <c r="B7" t="s">
        <v>6</v>
      </c>
      <c r="C7">
        <v>25</v>
      </c>
      <c r="E7" s="29">
        <v>45461</v>
      </c>
      <c r="F7" t="str">
        <f t="shared" si="0"/>
        <v>火</v>
      </c>
    </row>
    <row r="8" spans="1:6">
      <c r="A8" t="s">
        <v>3</v>
      </c>
      <c r="B8" t="s">
        <v>6</v>
      </c>
      <c r="C8">
        <v>80</v>
      </c>
      <c r="E8" s="29">
        <v>45462</v>
      </c>
      <c r="F8" t="str">
        <f t="shared" si="0"/>
        <v>水</v>
      </c>
    </row>
    <row r="9" spans="1:6">
      <c r="A9" t="s">
        <v>18</v>
      </c>
      <c r="B9" t="s">
        <v>6</v>
      </c>
      <c r="C9">
        <v>100</v>
      </c>
      <c r="E9" s="29">
        <v>45463</v>
      </c>
      <c r="F9" t="str">
        <f t="shared" si="0"/>
        <v>木</v>
      </c>
    </row>
    <row r="10" spans="1:6">
      <c r="A10" t="s">
        <v>5</v>
      </c>
      <c r="B10" t="s">
        <v>6</v>
      </c>
      <c r="C10">
        <v>30</v>
      </c>
      <c r="E10" s="29">
        <v>45464</v>
      </c>
      <c r="F10" t="str">
        <f t="shared" si="0"/>
        <v>金</v>
      </c>
    </row>
    <row r="11" spans="1:6">
      <c r="A11" t="s">
        <v>3</v>
      </c>
      <c r="B11" t="s">
        <v>7</v>
      </c>
      <c r="C11">
        <v>30</v>
      </c>
      <c r="E11" s="29">
        <v>45465</v>
      </c>
      <c r="F11" t="str">
        <f t="shared" si="0"/>
        <v>土</v>
      </c>
    </row>
    <row r="12" spans="1:6">
      <c r="A12" t="s">
        <v>5</v>
      </c>
      <c r="B12" t="s">
        <v>7</v>
      </c>
      <c r="C12">
        <v>10</v>
      </c>
      <c r="E12" s="29">
        <v>45466</v>
      </c>
      <c r="F12" t="str">
        <f t="shared" si="0"/>
        <v>日</v>
      </c>
    </row>
    <row r="13" spans="1:6">
      <c r="A13" t="s">
        <v>18</v>
      </c>
      <c r="B13" t="s">
        <v>6</v>
      </c>
      <c r="C13">
        <v>50</v>
      </c>
      <c r="E13" s="29">
        <v>45467</v>
      </c>
      <c r="F13" t="str">
        <f t="shared" si="0"/>
        <v>月</v>
      </c>
    </row>
    <row r="14" spans="1:6">
      <c r="A14" t="s">
        <v>5</v>
      </c>
      <c r="B14" t="s">
        <v>6</v>
      </c>
      <c r="C14">
        <v>30</v>
      </c>
    </row>
    <row r="15" spans="1:6">
      <c r="A15" t="s">
        <v>18</v>
      </c>
      <c r="B15" t="s">
        <v>7</v>
      </c>
      <c r="C15">
        <v>20</v>
      </c>
    </row>
    <row r="16" spans="1:6">
      <c r="A16" t="s">
        <v>4</v>
      </c>
      <c r="B16" t="s">
        <v>7</v>
      </c>
      <c r="C16">
        <v>100</v>
      </c>
    </row>
    <row r="17" spans="1:3">
      <c r="A17" t="s">
        <v>5</v>
      </c>
      <c r="B17" t="s">
        <v>6</v>
      </c>
      <c r="C17">
        <v>30</v>
      </c>
    </row>
    <row r="18" spans="1:3">
      <c r="A18" t="s">
        <v>5</v>
      </c>
      <c r="B18" t="s">
        <v>7</v>
      </c>
      <c r="C18">
        <v>80</v>
      </c>
    </row>
    <row r="19" spans="1:3">
      <c r="A19" t="s">
        <v>18</v>
      </c>
      <c r="B19" t="s">
        <v>6</v>
      </c>
      <c r="C19">
        <v>10</v>
      </c>
    </row>
    <row r="20" spans="1:3">
      <c r="A20" t="s">
        <v>4</v>
      </c>
      <c r="B20" t="s">
        <v>7</v>
      </c>
      <c r="C20">
        <v>30</v>
      </c>
    </row>
  </sheetData>
  <phoneticPr fontId="1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95F47-1163-4156-8C28-94CC1D0C2CBF}">
  <sheetPr codeName="Sheet2"/>
  <dimension ref="A1:E5"/>
  <sheetViews>
    <sheetView workbookViewId="0">
      <selection activeCell="A2" sqref="A2"/>
    </sheetView>
  </sheetViews>
  <sheetFormatPr defaultRowHeight="18"/>
  <cols>
    <col min="1" max="1" width="18" customWidth="1"/>
    <col min="2" max="2" width="12.33203125" bestFit="1" customWidth="1"/>
    <col min="3" max="3" width="11.5" customWidth="1"/>
    <col min="4" max="4" width="8.58203125" customWidth="1"/>
    <col min="5" max="5" width="16" customWidth="1"/>
  </cols>
  <sheetData>
    <row r="1" spans="1:5">
      <c r="A1" s="1" t="s">
        <v>0</v>
      </c>
      <c r="B1" s="1" t="s">
        <v>1</v>
      </c>
      <c r="C1" s="1" t="s">
        <v>2</v>
      </c>
      <c r="D1" s="2" t="s">
        <v>8</v>
      </c>
      <c r="E1" s="3">
        <f>SUM(C:C)</f>
        <v>200</v>
      </c>
    </row>
    <row r="2" spans="1:5">
      <c r="A2" t="s">
        <v>18</v>
      </c>
      <c r="B2" t="s">
        <v>22</v>
      </c>
      <c r="C2">
        <v>40</v>
      </c>
    </row>
    <row r="3" spans="1:5">
      <c r="A3" t="s">
        <v>18</v>
      </c>
      <c r="B3" t="s">
        <v>22</v>
      </c>
      <c r="C3">
        <v>100</v>
      </c>
    </row>
    <row r="4" spans="1:5">
      <c r="A4" t="s">
        <v>18</v>
      </c>
      <c r="B4" t="s">
        <v>22</v>
      </c>
      <c r="C4">
        <v>50</v>
      </c>
    </row>
    <row r="5" spans="1:5">
      <c r="A5" t="s">
        <v>18</v>
      </c>
      <c r="B5" t="s">
        <v>22</v>
      </c>
      <c r="C5">
        <v>10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A8F73-EB74-4BAE-8F09-A47A27DB4EB2}">
  <sheetPr codeName="Sheet3"/>
  <dimension ref="A1:F6"/>
  <sheetViews>
    <sheetView workbookViewId="0">
      <selection activeCell="H2" sqref="H2"/>
    </sheetView>
  </sheetViews>
  <sheetFormatPr defaultRowHeight="18"/>
  <cols>
    <col min="1" max="1" width="14.25" customWidth="1"/>
    <col min="8" max="8" width="14" customWidth="1"/>
  </cols>
  <sheetData>
    <row r="1" spans="1:6">
      <c r="A1" s="13" t="s">
        <v>13</v>
      </c>
      <c r="B1" s="14" t="s">
        <v>9</v>
      </c>
      <c r="C1" s="14" t="s">
        <v>10</v>
      </c>
      <c r="D1" s="14" t="s">
        <v>11</v>
      </c>
      <c r="E1" s="15" t="s">
        <v>12</v>
      </c>
      <c r="F1" s="16" t="s">
        <v>8</v>
      </c>
    </row>
    <row r="2" spans="1:6">
      <c r="A2" s="17" t="s">
        <v>3</v>
      </c>
      <c r="B2" s="18">
        <v>200</v>
      </c>
      <c r="C2" s="18">
        <v>400</v>
      </c>
      <c r="D2" s="18">
        <v>100</v>
      </c>
      <c r="E2" s="19">
        <v>20</v>
      </c>
      <c r="F2" s="20">
        <f>SUM(B2:E2)</f>
        <v>720</v>
      </c>
    </row>
    <row r="3" spans="1:6">
      <c r="A3" s="4" t="s">
        <v>19</v>
      </c>
      <c r="B3" s="6">
        <v>1200</v>
      </c>
      <c r="C3" s="6">
        <v>200</v>
      </c>
      <c r="D3" s="6">
        <v>20</v>
      </c>
      <c r="E3" s="19">
        <v>600</v>
      </c>
      <c r="F3" s="20">
        <f t="shared" ref="F3:F6" si="0">SUM(B3:E3)</f>
        <v>2020</v>
      </c>
    </row>
    <row r="4" spans="1:6">
      <c r="A4" s="21" t="s">
        <v>5</v>
      </c>
      <c r="B4" s="23">
        <v>3500</v>
      </c>
      <c r="C4" s="18">
        <v>100</v>
      </c>
      <c r="D4" s="18">
        <v>5000</v>
      </c>
      <c r="E4" s="19">
        <v>7000</v>
      </c>
      <c r="F4" s="20">
        <f t="shared" si="0"/>
        <v>15600</v>
      </c>
    </row>
    <row r="5" spans="1:6" ht="18.5" thickBot="1">
      <c r="A5" s="12" t="s">
        <v>4</v>
      </c>
      <c r="B5" s="8">
        <v>120</v>
      </c>
      <c r="C5" s="8">
        <v>5000</v>
      </c>
      <c r="D5" s="8">
        <v>1100</v>
      </c>
      <c r="E5" s="10">
        <v>100</v>
      </c>
      <c r="F5" s="9">
        <f t="shared" si="0"/>
        <v>6320</v>
      </c>
    </row>
    <row r="6" spans="1:6" ht="18.5" thickTop="1">
      <c r="A6" s="5" t="s">
        <v>8</v>
      </c>
      <c r="B6" s="7">
        <f>SUM(B2:B5)</f>
        <v>5020</v>
      </c>
      <c r="C6" s="7">
        <f t="shared" ref="C6:E6" si="1">SUM(C2:C5)</f>
        <v>5700</v>
      </c>
      <c r="D6" s="7">
        <f t="shared" si="1"/>
        <v>6220</v>
      </c>
      <c r="E6" s="11">
        <f t="shared" si="1"/>
        <v>7720</v>
      </c>
      <c r="F6" s="7">
        <f t="shared" si="0"/>
        <v>24660</v>
      </c>
    </row>
  </sheetData>
  <phoneticPr fontId="1"/>
  <conditionalFormatting sqref="B2:E5">
    <cfRule type="cellIs" dxfId="10" priority="3" operator="greaterThan">
      <formula>3000</formula>
    </cfRule>
  </conditionalFormatting>
  <conditionalFormatting sqref="H2">
    <cfRule type="expression" dxfId="9" priority="1">
      <formula>"H2="""""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77E82-5777-4F5F-97F0-9E43CE21A2B0}">
  <sheetPr codeName="Sheet4"/>
  <dimension ref="A1:F10"/>
  <sheetViews>
    <sheetView workbookViewId="0">
      <selection activeCell="I8" sqref="I8"/>
    </sheetView>
  </sheetViews>
  <sheetFormatPr defaultRowHeight="18"/>
  <cols>
    <col min="1" max="1" width="9.5" customWidth="1"/>
    <col min="2" max="2" width="10.4140625" customWidth="1"/>
    <col min="3" max="3" width="25.83203125" bestFit="1" customWidth="1"/>
    <col min="4" max="4" width="16.4140625" customWidth="1"/>
    <col min="5" max="5" width="9.9140625" customWidth="1"/>
    <col min="6" max="6" width="19.4140625" customWidth="1"/>
  </cols>
  <sheetData>
    <row r="1" spans="1:6">
      <c r="A1" s="26" t="s">
        <v>16</v>
      </c>
      <c r="B1" s="27" t="s">
        <v>14</v>
      </c>
      <c r="C1" s="27" t="s">
        <v>15</v>
      </c>
      <c r="D1" s="28" t="s">
        <v>17</v>
      </c>
      <c r="E1" s="31" t="s">
        <v>14</v>
      </c>
      <c r="F1" s="31" t="s">
        <v>15</v>
      </c>
    </row>
    <row r="2" spans="1:6">
      <c r="A2" s="24">
        <v>45323</v>
      </c>
      <c r="B2" s="22">
        <v>1</v>
      </c>
      <c r="C2" s="22" t="str">
        <f>VLOOKUP(テーブル1[[#This Row],[社員番号]],E2:F5,2,0)</f>
        <v>キティ</v>
      </c>
      <c r="D2" s="25">
        <v>1000</v>
      </c>
      <c r="E2" s="30">
        <v>1</v>
      </c>
      <c r="F2" s="30" t="s">
        <v>3</v>
      </c>
    </row>
    <row r="3" spans="1:6">
      <c r="A3" s="24">
        <v>45323</v>
      </c>
      <c r="B3" s="22">
        <v>5</v>
      </c>
      <c r="C3" s="22" t="str">
        <f>VLOOKUP(テーブル1[[#This Row],[社員番号]],E3:F6,2,0)</f>
        <v>マイメロディ</v>
      </c>
      <c r="D3" s="25"/>
      <c r="E3" s="30">
        <v>2</v>
      </c>
      <c r="F3" s="30" t="s">
        <v>19</v>
      </c>
    </row>
    <row r="4" spans="1:6">
      <c r="A4" s="24">
        <v>45325</v>
      </c>
      <c r="B4" s="22">
        <v>6</v>
      </c>
      <c r="C4" s="22" t="str">
        <f>VLOOKUP(テーブル1[[#This Row],[社員番号]],E4:F7,2,0)</f>
        <v>ケロッピー</v>
      </c>
      <c r="D4" s="25"/>
      <c r="E4" s="30">
        <v>3</v>
      </c>
      <c r="F4" s="30" t="s">
        <v>5</v>
      </c>
    </row>
    <row r="5" spans="1:6">
      <c r="A5" s="24">
        <v>45326</v>
      </c>
      <c r="B5" s="22">
        <v>7</v>
      </c>
      <c r="C5" s="22">
        <f>VLOOKUP(テーブル1[[#This Row],[社員番号]],E5:F8,2,0)</f>
        <v>0</v>
      </c>
      <c r="D5" s="25"/>
      <c r="E5" s="30">
        <v>4</v>
      </c>
      <c r="F5" s="30" t="s">
        <v>4</v>
      </c>
    </row>
    <row r="6" spans="1:6">
      <c r="A6" s="24">
        <v>45327</v>
      </c>
      <c r="B6" s="22"/>
      <c r="C6" s="22" t="e">
        <f>VLOOKUP(テーブル1[[#This Row],[社員番号]],E6:F9,2,0)</f>
        <v>#N/A</v>
      </c>
      <c r="D6" s="25"/>
      <c r="E6" s="30">
        <v>5</v>
      </c>
      <c r="F6" s="30" t="s">
        <v>20</v>
      </c>
    </row>
    <row r="7" spans="1:6">
      <c r="A7" s="24">
        <v>45327</v>
      </c>
      <c r="B7" s="22"/>
      <c r="C7" s="22" t="e">
        <f>VLOOKUP(テーブル1[[#This Row],[社員番号]],E7:F10,2,0)</f>
        <v>#N/A</v>
      </c>
      <c r="D7" s="25"/>
      <c r="E7" s="30">
        <v>6</v>
      </c>
      <c r="F7" s="30" t="s">
        <v>21</v>
      </c>
    </row>
    <row r="8" spans="1:6">
      <c r="A8" s="24">
        <v>45329</v>
      </c>
      <c r="B8" s="22"/>
      <c r="C8" s="22" t="e">
        <f>VLOOKUP(テーブル1[[#This Row],[社員番号]],E8:F11,2,0)</f>
        <v>#N/A</v>
      </c>
      <c r="D8" s="25"/>
      <c r="E8" s="30">
        <v>7</v>
      </c>
      <c r="F8" s="30"/>
    </row>
    <row r="9" spans="1:6">
      <c r="A9" s="24">
        <v>45409</v>
      </c>
      <c r="B9" s="22"/>
      <c r="C9" s="22" t="e">
        <f>VLOOKUP(テーブル1[[#This Row],[社員番号]],E9:F12,2,0)</f>
        <v>#N/A</v>
      </c>
      <c r="D9" s="25"/>
    </row>
    <row r="10" spans="1:6">
      <c r="A10" s="24">
        <v>45457</v>
      </c>
      <c r="B10" s="22"/>
      <c r="C10" s="22" t="e">
        <f>VLOOKUP(テーブル1[[#This Row],[社員番号]],E10:F13,2,0)</f>
        <v>#N/A</v>
      </c>
      <c r="D10" s="25"/>
    </row>
  </sheetData>
  <phoneticPr fontId="1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データベース</vt:lpstr>
      <vt:lpstr>シナモン チョコレート</vt:lpstr>
      <vt:lpstr>条件付書式</vt:lpstr>
      <vt:lpstr>テーブル</vt:lpstr>
      <vt:lpstr>データベース!Print_Area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有希成田</dc:creator>
  <cp:lastModifiedBy>ゆき 有希</cp:lastModifiedBy>
  <cp:lastPrinted>2024-06-14T08:33:46Z</cp:lastPrinted>
  <dcterms:created xsi:type="dcterms:W3CDTF">2015-06-05T18:19:34Z</dcterms:created>
  <dcterms:modified xsi:type="dcterms:W3CDTF">2024-08-18T06:47:27Z</dcterms:modified>
</cp:coreProperties>
</file>